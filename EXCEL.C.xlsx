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T.LAB8\Download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3" i="1"/>
  <c r="J22" i="1" l="1"/>
  <c r="J21" i="1"/>
  <c r="K21" i="1" s="1"/>
  <c r="J20" i="1"/>
  <c r="K20" i="1" s="1"/>
  <c r="J19" i="1"/>
  <c r="J18" i="1"/>
  <c r="K18" i="1" s="1"/>
  <c r="J17" i="1"/>
  <c r="J16" i="1"/>
  <c r="K16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9" i="1"/>
  <c r="J8" i="1"/>
  <c r="J7" i="1"/>
  <c r="J6" i="1"/>
  <c r="K6" i="1" s="1"/>
  <c r="J3" i="1"/>
  <c r="K3" i="1" s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G5" i="1"/>
  <c r="D4" i="1"/>
  <c r="E4" i="1"/>
  <c r="E5" i="1" s="1"/>
  <c r="F5" i="1"/>
  <c r="K17" i="1" l="1"/>
  <c r="K7" i="1"/>
  <c r="K19" i="1"/>
  <c r="K8" i="1"/>
  <c r="K9" i="1"/>
  <c r="K22" i="1"/>
  <c r="H4" i="1"/>
  <c r="J4" i="1"/>
  <c r="K4" i="1" s="1"/>
  <c r="I4" i="1"/>
  <c r="D5" i="1"/>
  <c r="J5" i="1" s="1"/>
  <c r="K5" i="1" l="1"/>
  <c r="H5" i="1"/>
  <c r="I5" i="1"/>
</calcChain>
</file>

<file path=xl/sharedStrings.xml><?xml version="1.0" encoding="utf-8"?>
<sst xmlns="http://schemas.openxmlformats.org/spreadsheetml/2006/main" count="52" uniqueCount="33">
  <si>
    <t xml:space="preserve">Sr </t>
  </si>
  <si>
    <t>Name</t>
  </si>
  <si>
    <t>Gender</t>
  </si>
  <si>
    <t>English</t>
  </si>
  <si>
    <t>Maths</t>
  </si>
  <si>
    <t>Science</t>
  </si>
  <si>
    <t>Computer</t>
  </si>
  <si>
    <t>Male</t>
  </si>
  <si>
    <t>Chirag</t>
  </si>
  <si>
    <t>Aman</t>
  </si>
  <si>
    <t>Rohit</t>
  </si>
  <si>
    <t>Ashish</t>
  </si>
  <si>
    <t>Akshay</t>
  </si>
  <si>
    <t>Mohit</t>
  </si>
  <si>
    <t>Rahul</t>
  </si>
  <si>
    <t>Manish</t>
  </si>
  <si>
    <t>Umesh</t>
  </si>
  <si>
    <t>Kapil</t>
  </si>
  <si>
    <t>Ranveer</t>
  </si>
  <si>
    <t>Suresh</t>
  </si>
  <si>
    <t>Ashwin</t>
  </si>
  <si>
    <t>Jadeja</t>
  </si>
  <si>
    <t>Aradhya</t>
  </si>
  <si>
    <t>Shriyans</t>
  </si>
  <si>
    <t>Vijay</t>
  </si>
  <si>
    <t>Kamlesh</t>
  </si>
  <si>
    <t>Total</t>
  </si>
  <si>
    <t>Percentage</t>
  </si>
  <si>
    <t>Result</t>
  </si>
  <si>
    <t>Grade</t>
  </si>
  <si>
    <t>Ghoda</t>
  </si>
  <si>
    <t>Jaadu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</si>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</sst>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1"/>
    <xf numFmtId="0" fontId="2" fillId="3" borderId="0" xfId="2"/>
    <xf numFmtId="0" fontId="4" fillId="0" borderId="0" xfId="0" applyFont="1" applyAlignment="1">
      <alignment horizont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workbookViewId="0">
      <selection activeCell="L6" sqref="L6"/>
    </sheetView>
  </sheetViews>
  <sheetFormatPr defaultRowHeight="15" x14ac:dyDescent="0.25"/>
  <cols>
    <col min="2" max="2" width="10.140625" customWidth="1"/>
    <col min="7" max="7" width="11" customWidth="1"/>
    <col min="9" max="9" width="14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</v>
      </c>
      <c r="I1" t="s">
        <v>27</v>
      </c>
      <c r="J1" t="s">
        <v>28</v>
      </c>
      <c r="K1" t="s">
        <v>29</v>
      </c>
      <c r="L1" t="s">
        <v>32</v>
      </c>
    </row>
    <row r="3" spans="1:12" x14ac:dyDescent="0.25">
      <c r="A3" s="1">
        <v>1</v>
      </c>
      <c r="B3" t="s">
        <v>8</v>
      </c>
      <c r="C3" t="s">
        <v>7</v>
      </c>
      <c r="D3" s="1">
        <v>83</v>
      </c>
      <c r="E3" s="1">
        <v>85</v>
      </c>
      <c r="F3" s="1">
        <v>98</v>
      </c>
      <c r="G3" s="1">
        <v>87</v>
      </c>
      <c r="H3" s="1">
        <v>344</v>
      </c>
      <c r="I3" s="5">
        <v>86</v>
      </c>
      <c r="J3" s="3" t="str">
        <f>IF(AND(D3&gt;=50,E3&gt;=50,F3&gt;=50,G3&gt;=50),"PASS","FAIL")</f>
        <v>PASS</v>
      </c>
      <c r="K3" s="1" t="str">
        <f>IF(J3="FAIL","",IF(I3&gt;90,"A+",IF(I3&gt;80,"A",IF(I3&gt;70,"B+",IF(I3&gt;60,"B",IF(I3&gt;50,"C"))))))</f>
        <v>A</v>
      </c>
      <c r="L3">
        <f>IF(J3="FAIL", "", RANK(I3, $I$3:$I$22, 0))</f>
        <v>1</v>
      </c>
    </row>
    <row r="4" spans="1:12" x14ac:dyDescent="0.25">
      <c r="A4" s="1">
        <v>2</v>
      </c>
      <c r="B4" t="s">
        <v>9</v>
      </c>
      <c r="C4" t="s">
        <v>7</v>
      </c>
      <c r="D4" s="2">
        <f t="shared" ref="D4:E4" si="0">SUM(D3)</f>
        <v>83</v>
      </c>
      <c r="E4" s="2">
        <f t="shared" si="0"/>
        <v>85</v>
      </c>
      <c r="F4" s="2">
        <v>87</v>
      </c>
      <c r="G4" s="2">
        <v>87</v>
      </c>
      <c r="H4" s="1">
        <f t="shared" ref="H4:H22" si="1">SUM(D4:G4)</f>
        <v>342</v>
      </c>
      <c r="I4" s="5">
        <f t="shared" ref="I4:I22" si="2">AVERAGE(D4:G4)</f>
        <v>85.5</v>
      </c>
      <c r="J4" s="3" t="str">
        <f t="shared" ref="J4:J22" si="3">IF(AND(D4&gt;=50,E4&gt;=50,F4&gt;=50,G4&gt;=50),"PASS","FAIL")</f>
        <v>PASS</v>
      </c>
      <c r="K4" s="1" t="str">
        <f t="shared" ref="K4:K22" si="4">IF(J4="FAIL","",IF(I4&gt;90,"A+",IF(I4&gt;80,"A",IF(I4&gt;70,"B+",IF(I4&gt;60,"B",IF(I4&gt;50,"C"))))))</f>
        <v>A</v>
      </c>
      <c r="L4">
        <f t="shared" ref="L4:L22" si="5">IF(J4="FAIL", "", RANK(I4, $I$3:$I$22, 0))</f>
        <v>2</v>
      </c>
    </row>
    <row r="5" spans="1:12" x14ac:dyDescent="0.25">
      <c r="A5" s="1">
        <v>3</v>
      </c>
      <c r="B5" t="s">
        <v>30</v>
      </c>
      <c r="C5" t="s">
        <v>7</v>
      </c>
      <c r="D5" s="2">
        <f t="shared" ref="D5:G5" si="6">SUM(D4)</f>
        <v>83</v>
      </c>
      <c r="E5" s="2">
        <f t="shared" si="6"/>
        <v>85</v>
      </c>
      <c r="F5" s="2">
        <f t="shared" si="6"/>
        <v>87</v>
      </c>
      <c r="G5" s="2">
        <f t="shared" si="6"/>
        <v>87</v>
      </c>
      <c r="H5" s="1">
        <f t="shared" si="1"/>
        <v>342</v>
      </c>
      <c r="I5" s="5">
        <f t="shared" si="2"/>
        <v>85.5</v>
      </c>
      <c r="J5" s="3" t="str">
        <f t="shared" si="3"/>
        <v>PASS</v>
      </c>
      <c r="K5" s="1" t="str">
        <f t="shared" si="4"/>
        <v>A</v>
      </c>
      <c r="L5">
        <f t="shared" si="5"/>
        <v>2</v>
      </c>
    </row>
    <row r="6" spans="1:12" x14ac:dyDescent="0.25">
      <c r="A6" s="1">
        <v>4</v>
      </c>
      <c r="B6" t="s">
        <v>10</v>
      </c>
      <c r="C6" t="s">
        <v>7</v>
      </c>
      <c r="D6" s="1">
        <v>78</v>
      </c>
      <c r="E6" s="1">
        <v>78</v>
      </c>
      <c r="F6" s="1">
        <v>45</v>
      </c>
      <c r="G6" s="1">
        <v>67</v>
      </c>
      <c r="H6" s="1">
        <f t="shared" si="1"/>
        <v>268</v>
      </c>
      <c r="I6" s="5">
        <f t="shared" si="2"/>
        <v>67</v>
      </c>
      <c r="J6" s="4" t="str">
        <f t="shared" si="3"/>
        <v>FAIL</v>
      </c>
      <c r="K6" s="1" t="str">
        <f t="shared" si="4"/>
        <v/>
      </c>
      <c r="L6" t="str">
        <f t="shared" si="5"/>
        <v/>
      </c>
    </row>
    <row r="7" spans="1:12" x14ac:dyDescent="0.25">
      <c r="A7" s="1">
        <v>5</v>
      </c>
      <c r="B7" t="s">
        <v>11</v>
      </c>
      <c r="C7" t="s">
        <v>7</v>
      </c>
      <c r="D7" s="1">
        <v>54</v>
      </c>
      <c r="E7" s="1">
        <v>98</v>
      </c>
      <c r="F7" s="1">
        <v>56</v>
      </c>
      <c r="G7" s="1">
        <v>87</v>
      </c>
      <c r="H7" s="1">
        <f t="shared" si="1"/>
        <v>295</v>
      </c>
      <c r="I7" s="5">
        <f t="shared" si="2"/>
        <v>73.75</v>
      </c>
      <c r="J7" s="3" t="str">
        <f t="shared" si="3"/>
        <v>PASS</v>
      </c>
      <c r="K7" s="1" t="str">
        <f t="shared" si="4"/>
        <v>B+</v>
      </c>
      <c r="L7">
        <f t="shared" si="5"/>
        <v>10</v>
      </c>
    </row>
    <row r="8" spans="1:12" x14ac:dyDescent="0.25">
      <c r="A8" s="1">
        <v>6</v>
      </c>
      <c r="B8" t="s">
        <v>12</v>
      </c>
      <c r="C8" t="s">
        <v>7</v>
      </c>
      <c r="D8" s="1">
        <v>78</v>
      </c>
      <c r="E8" s="1">
        <v>76</v>
      </c>
      <c r="F8" s="1">
        <v>67</v>
      </c>
      <c r="G8" s="1">
        <v>87</v>
      </c>
      <c r="H8" s="1">
        <f t="shared" si="1"/>
        <v>308</v>
      </c>
      <c r="I8" s="5">
        <f t="shared" si="2"/>
        <v>77</v>
      </c>
      <c r="J8" s="3" t="str">
        <f t="shared" si="3"/>
        <v>PASS</v>
      </c>
      <c r="K8" s="1" t="str">
        <f t="shared" si="4"/>
        <v>B+</v>
      </c>
      <c r="L8">
        <f t="shared" si="5"/>
        <v>6</v>
      </c>
    </row>
    <row r="9" spans="1:12" x14ac:dyDescent="0.25">
      <c r="A9" s="1">
        <v>7</v>
      </c>
      <c r="B9" t="s">
        <v>13</v>
      </c>
      <c r="C9" t="s">
        <v>7</v>
      </c>
      <c r="D9" s="1">
        <v>98</v>
      </c>
      <c r="E9" s="1">
        <v>56</v>
      </c>
      <c r="F9" s="1">
        <v>76</v>
      </c>
      <c r="G9" s="1">
        <v>67</v>
      </c>
      <c r="H9" s="1">
        <f t="shared" si="1"/>
        <v>297</v>
      </c>
      <c r="I9" s="5">
        <f t="shared" si="2"/>
        <v>74.25</v>
      </c>
      <c r="J9" s="3" t="str">
        <f t="shared" si="3"/>
        <v>PASS</v>
      </c>
      <c r="K9" s="1" t="str">
        <f t="shared" si="4"/>
        <v>B+</v>
      </c>
      <c r="L9">
        <f t="shared" si="5"/>
        <v>9</v>
      </c>
    </row>
    <row r="10" spans="1:12" x14ac:dyDescent="0.25">
      <c r="A10" s="1">
        <v>8</v>
      </c>
      <c r="B10" t="s">
        <v>14</v>
      </c>
      <c r="C10" t="s">
        <v>7</v>
      </c>
      <c r="D10" s="1">
        <v>34</v>
      </c>
      <c r="E10" s="1">
        <v>67</v>
      </c>
      <c r="F10" s="1">
        <v>89</v>
      </c>
      <c r="G10" s="1">
        <v>98</v>
      </c>
      <c r="H10" s="1">
        <f t="shared" si="1"/>
        <v>288</v>
      </c>
      <c r="I10" s="5">
        <f t="shared" si="2"/>
        <v>72</v>
      </c>
      <c r="J10" s="4" t="str">
        <f t="shared" si="3"/>
        <v>FAIL</v>
      </c>
      <c r="K10" s="1" t="str">
        <f t="shared" si="4"/>
        <v/>
      </c>
      <c r="L10" t="str">
        <f t="shared" si="5"/>
        <v/>
      </c>
    </row>
    <row r="11" spans="1:12" x14ac:dyDescent="0.25">
      <c r="A11" s="1">
        <v>9</v>
      </c>
      <c r="B11" t="s">
        <v>15</v>
      </c>
      <c r="C11" t="s">
        <v>7</v>
      </c>
      <c r="D11" s="1">
        <v>56</v>
      </c>
      <c r="E11" s="1">
        <v>87</v>
      </c>
      <c r="F11" s="1">
        <v>79</v>
      </c>
      <c r="G11" s="1">
        <v>56</v>
      </c>
      <c r="H11" s="1">
        <f t="shared" si="1"/>
        <v>278</v>
      </c>
      <c r="I11" s="5">
        <f t="shared" si="2"/>
        <v>69.5</v>
      </c>
      <c r="J11" s="3" t="str">
        <f t="shared" si="3"/>
        <v>PASS</v>
      </c>
      <c r="K11" s="1" t="str">
        <f t="shared" si="4"/>
        <v>B</v>
      </c>
      <c r="L11">
        <f t="shared" si="5"/>
        <v>12</v>
      </c>
    </row>
    <row r="12" spans="1:12" x14ac:dyDescent="0.25">
      <c r="A12" s="1">
        <v>10</v>
      </c>
      <c r="B12" t="s">
        <v>16</v>
      </c>
      <c r="C12" t="s">
        <v>7</v>
      </c>
      <c r="D12" s="1">
        <v>98</v>
      </c>
      <c r="E12" s="1">
        <v>89</v>
      </c>
      <c r="F12" s="1">
        <v>67</v>
      </c>
      <c r="G12" s="1">
        <v>78</v>
      </c>
      <c r="H12" s="1">
        <f t="shared" si="1"/>
        <v>332</v>
      </c>
      <c r="I12" s="5">
        <f t="shared" si="2"/>
        <v>83</v>
      </c>
      <c r="J12" s="3" t="str">
        <f t="shared" si="3"/>
        <v>PASS</v>
      </c>
      <c r="K12" s="1" t="str">
        <f t="shared" si="4"/>
        <v>A</v>
      </c>
      <c r="L12">
        <f t="shared" si="5"/>
        <v>4</v>
      </c>
    </row>
    <row r="13" spans="1:12" x14ac:dyDescent="0.25">
      <c r="A13" s="1">
        <v>11</v>
      </c>
      <c r="B13" t="s">
        <v>31</v>
      </c>
      <c r="C13" t="s">
        <v>7</v>
      </c>
      <c r="D13" s="1">
        <v>75</v>
      </c>
      <c r="E13" s="1">
        <v>56</v>
      </c>
      <c r="F13" s="1">
        <v>45</v>
      </c>
      <c r="G13" s="1">
        <v>56</v>
      </c>
      <c r="H13" s="1">
        <f t="shared" si="1"/>
        <v>232</v>
      </c>
      <c r="I13" s="5">
        <f t="shared" si="2"/>
        <v>58</v>
      </c>
      <c r="J13" s="4" t="str">
        <f t="shared" si="3"/>
        <v>FAIL</v>
      </c>
      <c r="K13" s="1" t="str">
        <f t="shared" si="4"/>
        <v/>
      </c>
      <c r="L13" t="str">
        <f t="shared" si="5"/>
        <v/>
      </c>
    </row>
    <row r="14" spans="1:12" x14ac:dyDescent="0.25">
      <c r="A14" s="1">
        <v>12</v>
      </c>
      <c r="B14" t="s">
        <v>17</v>
      </c>
      <c r="C14" t="s">
        <v>7</v>
      </c>
      <c r="D14" s="1">
        <v>45</v>
      </c>
      <c r="E14" s="1">
        <v>54</v>
      </c>
      <c r="F14" s="1">
        <v>46</v>
      </c>
      <c r="G14" s="1">
        <v>78</v>
      </c>
      <c r="H14" s="1">
        <f t="shared" si="1"/>
        <v>223</v>
      </c>
      <c r="I14" s="5">
        <f t="shared" si="2"/>
        <v>55.75</v>
      </c>
      <c r="J14" s="4" t="str">
        <f t="shared" si="3"/>
        <v>FAIL</v>
      </c>
      <c r="K14" s="1" t="str">
        <f t="shared" si="4"/>
        <v/>
      </c>
      <c r="L14" t="str">
        <f t="shared" si="5"/>
        <v/>
      </c>
    </row>
    <row r="15" spans="1:12" x14ac:dyDescent="0.25">
      <c r="A15" s="1">
        <v>13</v>
      </c>
      <c r="B15" t="s">
        <v>18</v>
      </c>
      <c r="C15" t="s">
        <v>7</v>
      </c>
      <c r="D15" s="1">
        <v>87</v>
      </c>
      <c r="E15" s="1">
        <v>67</v>
      </c>
      <c r="F15" s="1">
        <v>67</v>
      </c>
      <c r="G15" s="1">
        <v>56</v>
      </c>
      <c r="H15" s="1">
        <f t="shared" si="1"/>
        <v>277</v>
      </c>
      <c r="I15" s="5">
        <f t="shared" si="2"/>
        <v>69.25</v>
      </c>
      <c r="J15" s="3" t="str">
        <f t="shared" si="3"/>
        <v>PASS</v>
      </c>
      <c r="K15" s="1" t="str">
        <f t="shared" si="4"/>
        <v>B</v>
      </c>
      <c r="L15">
        <f t="shared" si="5"/>
        <v>13</v>
      </c>
    </row>
    <row r="16" spans="1:12" x14ac:dyDescent="0.25">
      <c r="A16" s="1">
        <v>14</v>
      </c>
      <c r="B16" t="s">
        <v>19</v>
      </c>
      <c r="C16" t="s">
        <v>7</v>
      </c>
      <c r="D16" s="1">
        <v>89</v>
      </c>
      <c r="E16" s="1">
        <v>78</v>
      </c>
      <c r="F16" s="1">
        <v>98</v>
      </c>
      <c r="G16" s="1">
        <v>54</v>
      </c>
      <c r="H16" s="1">
        <f t="shared" si="1"/>
        <v>319</v>
      </c>
      <c r="I16" s="5">
        <f t="shared" si="2"/>
        <v>79.75</v>
      </c>
      <c r="J16" s="3" t="str">
        <f t="shared" si="3"/>
        <v>PASS</v>
      </c>
      <c r="K16" s="1" t="str">
        <f t="shared" si="4"/>
        <v>B+</v>
      </c>
      <c r="L16">
        <f t="shared" si="5"/>
        <v>5</v>
      </c>
    </row>
    <row r="17" spans="1:12" x14ac:dyDescent="0.25">
      <c r="A17" s="1">
        <v>15</v>
      </c>
      <c r="B17" t="s">
        <v>20</v>
      </c>
      <c r="C17" t="s">
        <v>7</v>
      </c>
      <c r="D17" s="1">
        <v>65</v>
      </c>
      <c r="E17" s="1">
        <v>89</v>
      </c>
      <c r="F17" s="1">
        <v>78</v>
      </c>
      <c r="G17" s="1">
        <v>67</v>
      </c>
      <c r="H17" s="1">
        <f t="shared" si="1"/>
        <v>299</v>
      </c>
      <c r="I17" s="5">
        <f t="shared" si="2"/>
        <v>74.75</v>
      </c>
      <c r="J17" s="3" t="str">
        <f t="shared" si="3"/>
        <v>PASS</v>
      </c>
      <c r="K17" s="1" t="str">
        <f t="shared" si="4"/>
        <v>B+</v>
      </c>
      <c r="L17">
        <f t="shared" si="5"/>
        <v>8</v>
      </c>
    </row>
    <row r="18" spans="1:12" x14ac:dyDescent="0.25">
      <c r="A18" s="1">
        <v>16</v>
      </c>
      <c r="B18" t="s">
        <v>21</v>
      </c>
      <c r="C18" t="s">
        <v>7</v>
      </c>
      <c r="D18" s="1">
        <v>34</v>
      </c>
      <c r="E18" s="1">
        <v>78</v>
      </c>
      <c r="F18" s="1">
        <v>76</v>
      </c>
      <c r="G18" s="1">
        <v>81</v>
      </c>
      <c r="H18" s="1">
        <f t="shared" si="1"/>
        <v>269</v>
      </c>
      <c r="I18" s="5">
        <f t="shared" si="2"/>
        <v>67.25</v>
      </c>
      <c r="J18" s="4" t="str">
        <f t="shared" si="3"/>
        <v>FAIL</v>
      </c>
      <c r="K18" s="1" t="str">
        <f t="shared" si="4"/>
        <v/>
      </c>
      <c r="L18" t="str">
        <f t="shared" si="5"/>
        <v/>
      </c>
    </row>
    <row r="19" spans="1:12" x14ac:dyDescent="0.25">
      <c r="A19" s="1">
        <v>17</v>
      </c>
      <c r="B19" t="s">
        <v>22</v>
      </c>
      <c r="C19" t="s">
        <v>7</v>
      </c>
      <c r="D19" s="1">
        <v>54</v>
      </c>
      <c r="E19" s="1">
        <v>56</v>
      </c>
      <c r="F19" s="1">
        <v>67</v>
      </c>
      <c r="G19" s="1">
        <v>87</v>
      </c>
      <c r="H19" s="1">
        <f t="shared" si="1"/>
        <v>264</v>
      </c>
      <c r="I19" s="5">
        <f t="shared" si="2"/>
        <v>66</v>
      </c>
      <c r="J19" s="3" t="str">
        <f t="shared" si="3"/>
        <v>PASS</v>
      </c>
      <c r="K19" s="1" t="str">
        <f t="shared" si="4"/>
        <v>B</v>
      </c>
      <c r="L19">
        <f t="shared" si="5"/>
        <v>16</v>
      </c>
    </row>
    <row r="20" spans="1:12" x14ac:dyDescent="0.25">
      <c r="A20" s="1">
        <v>18</v>
      </c>
      <c r="B20" t="s">
        <v>23</v>
      </c>
      <c r="C20" t="s">
        <v>7</v>
      </c>
      <c r="D20" s="1">
        <v>87</v>
      </c>
      <c r="E20" s="1">
        <v>45</v>
      </c>
      <c r="F20" s="1">
        <v>65</v>
      </c>
      <c r="G20" s="1">
        <v>56</v>
      </c>
      <c r="H20" s="1">
        <f t="shared" si="1"/>
        <v>253</v>
      </c>
      <c r="I20" s="5">
        <f t="shared" si="2"/>
        <v>63.25</v>
      </c>
      <c r="J20" s="4" t="str">
        <f t="shared" si="3"/>
        <v>FAIL</v>
      </c>
      <c r="K20" s="1" t="str">
        <f t="shared" si="4"/>
        <v/>
      </c>
      <c r="L20" t="str">
        <f t="shared" si="5"/>
        <v/>
      </c>
    </row>
    <row r="21" spans="1:12" x14ac:dyDescent="0.25">
      <c r="A21" s="1">
        <v>19</v>
      </c>
      <c r="B21" t="s">
        <v>24</v>
      </c>
      <c r="C21" t="s">
        <v>7</v>
      </c>
      <c r="D21" s="1">
        <v>89</v>
      </c>
      <c r="E21" s="1">
        <v>23</v>
      </c>
      <c r="F21" s="1">
        <v>78</v>
      </c>
      <c r="G21" s="1">
        <v>45</v>
      </c>
      <c r="H21" s="1">
        <f t="shared" si="1"/>
        <v>235</v>
      </c>
      <c r="I21" s="5">
        <f t="shared" si="2"/>
        <v>58.75</v>
      </c>
      <c r="J21" s="4" t="str">
        <f t="shared" si="3"/>
        <v>FAIL</v>
      </c>
      <c r="K21" s="1" t="str">
        <f t="shared" si="4"/>
        <v/>
      </c>
      <c r="L21" t="str">
        <f t="shared" si="5"/>
        <v/>
      </c>
    </row>
    <row r="22" spans="1:12" x14ac:dyDescent="0.25">
      <c r="A22" s="1">
        <v>20</v>
      </c>
      <c r="B22" t="s">
        <v>25</v>
      </c>
      <c r="C22" t="s">
        <v>7</v>
      </c>
      <c r="D22" s="1">
        <v>90</v>
      </c>
      <c r="E22" s="1">
        <v>78</v>
      </c>
      <c r="F22" s="1">
        <v>87</v>
      </c>
      <c r="G22" s="1">
        <v>52</v>
      </c>
      <c r="H22" s="1">
        <f t="shared" si="1"/>
        <v>307</v>
      </c>
      <c r="I22" s="5">
        <f t="shared" si="2"/>
        <v>76.75</v>
      </c>
      <c r="J22" s="3" t="str">
        <f t="shared" si="3"/>
        <v>PASS</v>
      </c>
      <c r="K22" s="1" t="str">
        <f t="shared" si="4"/>
        <v>B+</v>
      </c>
      <c r="L22">
        <f t="shared" si="5"/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 NGP. LAB8</dc:creator>
  <cp:lastModifiedBy>SIT NGP. LAB8</cp:lastModifiedBy>
  <dcterms:created xsi:type="dcterms:W3CDTF">2026-09-10T08:48:03Z</dcterms:created>
  <dcterms:modified xsi:type="dcterms:W3CDTF">2026-09-17T09:31:51Z</dcterms:modified>
</cp:coreProperties>
</file>