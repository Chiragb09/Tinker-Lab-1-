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IT.LAB8\Downloads\"/>
    </mc:Choice>
  </mc:AlternateContent>
  <bookViews>
    <workbookView xWindow="0" yWindow="0" windowWidth="28800" windowHeight="1221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2" i="1" l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3" i="1"/>
  <c r="K3" i="1" s="1"/>
  <c r="G5" i="1"/>
  <c r="D4" i="1"/>
  <c r="E4" i="1"/>
  <c r="E5" i="1" s="1"/>
  <c r="F4" i="1"/>
  <c r="F5" i="1" s="1"/>
  <c r="H4" i="1" l="1"/>
  <c r="J4" i="1"/>
  <c r="I4" i="1"/>
  <c r="D5" i="1"/>
  <c r="J5" i="1" s="1"/>
  <c r="H5" i="1" l="1"/>
  <c r="I5" i="1"/>
</calcChain>
</file>

<file path=xl/sharedStrings.xml><?xml version="1.0" encoding="utf-8"?>
<sst xmlns="http://schemas.openxmlformats.org/spreadsheetml/2006/main" count="51" uniqueCount="32">
  <si>
    <t xml:space="preserve">Sr </t>
  </si>
  <si>
    <t>Name</t>
  </si>
  <si>
    <t>Gender</t>
  </si>
  <si>
    <t>English</t>
  </si>
  <si>
    <t>Maths</t>
  </si>
  <si>
    <t>Science</t>
  </si>
  <si>
    <t>Computer</t>
  </si>
  <si>
    <t>Male</t>
  </si>
  <si>
    <t>Chirag</t>
  </si>
  <si>
    <t>Aman</t>
  </si>
  <si>
    <t>Chaman</t>
  </si>
  <si>
    <t>Rohit</t>
  </si>
  <si>
    <t>Ashish</t>
  </si>
  <si>
    <t>Akshay</t>
  </si>
  <si>
    <t>Mohit</t>
  </si>
  <si>
    <t>Rahul</t>
  </si>
  <si>
    <t>Manish</t>
  </si>
  <si>
    <t>Umesh</t>
  </si>
  <si>
    <t>Dhoni</t>
  </si>
  <si>
    <t>Kapil</t>
  </si>
  <si>
    <t>Ranveer</t>
  </si>
  <si>
    <t>Suresh</t>
  </si>
  <si>
    <t>Ashwin</t>
  </si>
  <si>
    <t>Jadeja</t>
  </si>
  <si>
    <t>Aradhya</t>
  </si>
  <si>
    <t>Shriyans</t>
  </si>
  <si>
    <t>Vijay</t>
  </si>
  <si>
    <t>Kamlesh</t>
  </si>
  <si>
    <t>Total</t>
  </si>
  <si>
    <t>Percentage</t>
  </si>
  <si>
    <t>Result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</si>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</sst>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1"/>
    <xf numFmtId="0" fontId="2" fillId="3" borderId="0" xfId="2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K4" sqref="K4"/>
    </sheetView>
  </sheetViews>
  <sheetFormatPr defaultRowHeight="15" x14ac:dyDescent="0.25"/>
  <cols>
    <col min="2" max="2" width="10.140625" customWidth="1"/>
    <col min="7" max="7" width="11" customWidth="1"/>
    <col min="9" max="9" width="14.5703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28</v>
      </c>
      <c r="I1" t="s">
        <v>29</v>
      </c>
      <c r="J1" t="s">
        <v>30</v>
      </c>
      <c r="K1" t="s">
        <v>31</v>
      </c>
    </row>
    <row r="3" spans="1:11" x14ac:dyDescent="0.25">
      <c r="A3" s="1">
        <v>1</v>
      </c>
      <c r="B3" t="s">
        <v>8</v>
      </c>
      <c r="C3" t="s">
        <v>7</v>
      </c>
      <c r="D3" s="1">
        <v>83</v>
      </c>
      <c r="E3" s="1">
        <v>85</v>
      </c>
      <c r="F3" s="1">
        <v>89</v>
      </c>
      <c r="G3" s="1">
        <v>87</v>
      </c>
      <c r="H3" s="1">
        <f>SUM(D3:G3)</f>
        <v>344</v>
      </c>
      <c r="I3" s="1">
        <f>AVERAGE(D3:G3)</f>
        <v>86</v>
      </c>
      <c r="J3" s="3" t="str">
        <f>IF(AND(D3&gt;=50,E3&gt;=50,F3&gt;=50,G3&gt;=50),"PASS","FAIL")</f>
        <v>PASS</v>
      </c>
      <c r="K3" t="str">
        <f>IF(H3&gt;=90, "A", IF(H3&gt;=80, "B", IF(H3&gt;=70, "C", IF(H3&gt;=60, "D", "F"))))</f>
        <v>A</v>
      </c>
    </row>
    <row r="4" spans="1:11" x14ac:dyDescent="0.25">
      <c r="A4" s="1">
        <v>2</v>
      </c>
      <c r="B4" t="s">
        <v>9</v>
      </c>
      <c r="C4" t="s">
        <v>7</v>
      </c>
      <c r="D4" s="2">
        <f t="shared" ref="D4:F4" si="0">SUM(D3)</f>
        <v>83</v>
      </c>
      <c r="E4" s="2">
        <f t="shared" si="0"/>
        <v>85</v>
      </c>
      <c r="F4" s="2">
        <f t="shared" si="0"/>
        <v>89</v>
      </c>
      <c r="G4" s="2">
        <v>87</v>
      </c>
      <c r="H4" s="1">
        <f>SUM(D4:G4)</f>
        <v>344</v>
      </c>
      <c r="I4" s="1">
        <f>AVERAGE(D4:G4)</f>
        <v>86</v>
      </c>
      <c r="J4" s="3" t="str">
        <f t="shared" ref="J4:J22" si="1">IF(AND(D4&gt;=50,E4&gt;=50,F4&gt;=50,G4&gt;=50),"PASS","FAIL")</f>
        <v>PASS</v>
      </c>
    </row>
    <row r="5" spans="1:11" x14ac:dyDescent="0.25">
      <c r="A5" s="1">
        <v>3</v>
      </c>
      <c r="B5" t="s">
        <v>10</v>
      </c>
      <c r="C5" t="s">
        <v>7</v>
      </c>
      <c r="D5" s="2">
        <f t="shared" ref="D5:G5" si="2">SUM(D4)</f>
        <v>83</v>
      </c>
      <c r="E5" s="2">
        <f t="shared" si="2"/>
        <v>85</v>
      </c>
      <c r="F5" s="2">
        <f t="shared" si="2"/>
        <v>89</v>
      </c>
      <c r="G5" s="2">
        <f t="shared" si="2"/>
        <v>87</v>
      </c>
      <c r="H5" s="1">
        <f>SUM(D5:G5)</f>
        <v>344</v>
      </c>
      <c r="I5" s="1">
        <f>AVERAGE(D5:G5)</f>
        <v>86</v>
      </c>
      <c r="J5" s="3" t="str">
        <f t="shared" si="1"/>
        <v>PASS</v>
      </c>
    </row>
    <row r="6" spans="1:11" x14ac:dyDescent="0.25">
      <c r="A6" s="1">
        <v>4</v>
      </c>
      <c r="B6" t="s">
        <v>11</v>
      </c>
      <c r="C6" t="s">
        <v>7</v>
      </c>
      <c r="D6" s="1">
        <v>78</v>
      </c>
      <c r="E6" s="1">
        <v>78</v>
      </c>
      <c r="F6" s="1">
        <v>45</v>
      </c>
      <c r="G6" s="1">
        <v>67</v>
      </c>
      <c r="H6" s="1">
        <f>SUM(D6:G6)</f>
        <v>268</v>
      </c>
      <c r="I6" s="1">
        <f>AVERAGE(D6:G6)</f>
        <v>67</v>
      </c>
      <c r="J6" s="4" t="str">
        <f t="shared" si="1"/>
        <v>FAIL</v>
      </c>
    </row>
    <row r="7" spans="1:11" x14ac:dyDescent="0.25">
      <c r="A7" s="1">
        <v>5</v>
      </c>
      <c r="B7" t="s">
        <v>12</v>
      </c>
      <c r="C7" t="s">
        <v>7</v>
      </c>
      <c r="D7" s="1">
        <v>54</v>
      </c>
      <c r="E7" s="1">
        <v>98</v>
      </c>
      <c r="F7" s="1">
        <v>56</v>
      </c>
      <c r="G7" s="1">
        <v>87</v>
      </c>
      <c r="H7" s="1">
        <f>SUM(D7:G7)</f>
        <v>295</v>
      </c>
      <c r="I7" s="1">
        <f>AVERAGE(D7:G7)</f>
        <v>73.75</v>
      </c>
      <c r="J7" s="3" t="str">
        <f t="shared" si="1"/>
        <v>PASS</v>
      </c>
    </row>
    <row r="8" spans="1:11" x14ac:dyDescent="0.25">
      <c r="A8" s="1">
        <v>6</v>
      </c>
      <c r="B8" t="s">
        <v>13</v>
      </c>
      <c r="C8" t="s">
        <v>7</v>
      </c>
      <c r="D8" s="1">
        <v>78</v>
      </c>
      <c r="E8" s="1">
        <v>76</v>
      </c>
      <c r="F8" s="1">
        <v>67</v>
      </c>
      <c r="G8" s="1">
        <v>87</v>
      </c>
      <c r="H8" s="1">
        <f>SUM(D8:G8)</f>
        <v>308</v>
      </c>
      <c r="I8" s="1">
        <f>AVERAGE(D8:G8)</f>
        <v>77</v>
      </c>
      <c r="J8" s="3" t="str">
        <f t="shared" si="1"/>
        <v>PASS</v>
      </c>
    </row>
    <row r="9" spans="1:11" x14ac:dyDescent="0.25">
      <c r="A9" s="1">
        <v>7</v>
      </c>
      <c r="B9" t="s">
        <v>14</v>
      </c>
      <c r="C9" t="s">
        <v>7</v>
      </c>
      <c r="D9" s="1">
        <v>98</v>
      </c>
      <c r="E9" s="1">
        <v>56</v>
      </c>
      <c r="F9" s="1">
        <v>76</v>
      </c>
      <c r="G9" s="1">
        <v>67</v>
      </c>
      <c r="H9" s="1">
        <f>SUM(D9:G9)</f>
        <v>297</v>
      </c>
      <c r="I9" s="1">
        <f>AVERAGE(D9:G9)</f>
        <v>74.25</v>
      </c>
      <c r="J9" s="3" t="str">
        <f t="shared" si="1"/>
        <v>PASS</v>
      </c>
    </row>
    <row r="10" spans="1:11" x14ac:dyDescent="0.25">
      <c r="A10" s="1">
        <v>8</v>
      </c>
      <c r="B10" t="s">
        <v>15</v>
      </c>
      <c r="C10" t="s">
        <v>7</v>
      </c>
      <c r="D10" s="1">
        <v>34</v>
      </c>
      <c r="E10" s="1">
        <v>67</v>
      </c>
      <c r="F10" s="1">
        <v>89</v>
      </c>
      <c r="G10" s="1">
        <v>98</v>
      </c>
      <c r="H10" s="1">
        <f>SUM(D10:G10)</f>
        <v>288</v>
      </c>
      <c r="I10" s="1">
        <f>AVERAGE(D10:G10)</f>
        <v>72</v>
      </c>
      <c r="J10" s="4" t="str">
        <f t="shared" si="1"/>
        <v>FAIL</v>
      </c>
    </row>
    <row r="11" spans="1:11" x14ac:dyDescent="0.25">
      <c r="A11" s="1">
        <v>9</v>
      </c>
      <c r="B11" t="s">
        <v>16</v>
      </c>
      <c r="C11" t="s">
        <v>7</v>
      </c>
      <c r="D11" s="1">
        <v>56</v>
      </c>
      <c r="E11" s="1">
        <v>87</v>
      </c>
      <c r="F11" s="1">
        <v>79</v>
      </c>
      <c r="G11" s="1">
        <v>56</v>
      </c>
      <c r="H11" s="1">
        <f>SUM(D11:G11)</f>
        <v>278</v>
      </c>
      <c r="I11" s="1">
        <f>AVERAGE(D11:G11)</f>
        <v>69.5</v>
      </c>
      <c r="J11" s="3" t="str">
        <f t="shared" si="1"/>
        <v>PASS</v>
      </c>
    </row>
    <row r="12" spans="1:11" x14ac:dyDescent="0.25">
      <c r="A12" s="1">
        <v>10</v>
      </c>
      <c r="B12" t="s">
        <v>17</v>
      </c>
      <c r="C12" t="s">
        <v>7</v>
      </c>
      <c r="D12" s="1">
        <v>98</v>
      </c>
      <c r="E12" s="1">
        <v>89</v>
      </c>
      <c r="F12" s="1">
        <v>67</v>
      </c>
      <c r="G12" s="1">
        <v>78</v>
      </c>
      <c r="H12" s="1">
        <f>SUM(D12:G12)</f>
        <v>332</v>
      </c>
      <c r="I12" s="1">
        <f>AVERAGE(D12:G12)</f>
        <v>83</v>
      </c>
      <c r="J12" s="3" t="str">
        <f t="shared" si="1"/>
        <v>PASS</v>
      </c>
    </row>
    <row r="13" spans="1:11" x14ac:dyDescent="0.25">
      <c r="A13" s="1">
        <v>11</v>
      </c>
      <c r="B13" t="s">
        <v>18</v>
      </c>
      <c r="C13" t="s">
        <v>7</v>
      </c>
      <c r="D13" s="1">
        <v>75</v>
      </c>
      <c r="E13" s="1">
        <v>56</v>
      </c>
      <c r="F13" s="1">
        <v>45</v>
      </c>
      <c r="G13" s="1">
        <v>56</v>
      </c>
      <c r="H13" s="1">
        <f>SUM(D13:G13)</f>
        <v>232</v>
      </c>
      <c r="I13" s="1">
        <f>AVERAGE(D13:G13)</f>
        <v>58</v>
      </c>
      <c r="J13" s="4" t="str">
        <f t="shared" si="1"/>
        <v>FAIL</v>
      </c>
    </row>
    <row r="14" spans="1:11" x14ac:dyDescent="0.25">
      <c r="A14" s="1">
        <v>12</v>
      </c>
      <c r="B14" t="s">
        <v>19</v>
      </c>
      <c r="C14" t="s">
        <v>7</v>
      </c>
      <c r="D14" s="1">
        <v>45</v>
      </c>
      <c r="E14" s="1">
        <v>54</v>
      </c>
      <c r="F14" s="1">
        <v>46</v>
      </c>
      <c r="G14" s="1">
        <v>78</v>
      </c>
      <c r="H14" s="1">
        <f>SUM(D14:G14)</f>
        <v>223</v>
      </c>
      <c r="I14" s="1">
        <f>AVERAGE(D14:G14)</f>
        <v>55.75</v>
      </c>
      <c r="J14" s="4" t="str">
        <f t="shared" si="1"/>
        <v>FAIL</v>
      </c>
    </row>
    <row r="15" spans="1:11" x14ac:dyDescent="0.25">
      <c r="A15" s="1">
        <v>13</v>
      </c>
      <c r="B15" t="s">
        <v>20</v>
      </c>
      <c r="C15" t="s">
        <v>7</v>
      </c>
      <c r="D15" s="1">
        <v>87</v>
      </c>
      <c r="E15" s="1">
        <v>67</v>
      </c>
      <c r="F15" s="1">
        <v>67</v>
      </c>
      <c r="G15" s="1">
        <v>56</v>
      </c>
      <c r="H15" s="1">
        <f>SUM(D15:G15)</f>
        <v>277</v>
      </c>
      <c r="I15" s="1">
        <f>AVERAGE(D15:G15)</f>
        <v>69.25</v>
      </c>
      <c r="J15" s="3" t="str">
        <f t="shared" si="1"/>
        <v>PASS</v>
      </c>
    </row>
    <row r="16" spans="1:11" x14ac:dyDescent="0.25">
      <c r="A16" s="1">
        <v>14</v>
      </c>
      <c r="B16" t="s">
        <v>21</v>
      </c>
      <c r="C16" t="s">
        <v>7</v>
      </c>
      <c r="D16" s="1">
        <v>89</v>
      </c>
      <c r="E16" s="1">
        <v>78</v>
      </c>
      <c r="F16" s="1">
        <v>98</v>
      </c>
      <c r="G16" s="1">
        <v>54</v>
      </c>
      <c r="H16" s="1">
        <f>SUM(D16:G16)</f>
        <v>319</v>
      </c>
      <c r="I16" s="1">
        <f>AVERAGE(D16:G16)</f>
        <v>79.75</v>
      </c>
      <c r="J16" s="3" t="str">
        <f t="shared" si="1"/>
        <v>PASS</v>
      </c>
    </row>
    <row r="17" spans="1:10" x14ac:dyDescent="0.25">
      <c r="A17" s="1">
        <v>15</v>
      </c>
      <c r="B17" t="s">
        <v>22</v>
      </c>
      <c r="C17" t="s">
        <v>7</v>
      </c>
      <c r="D17" s="1">
        <v>65</v>
      </c>
      <c r="E17" s="1">
        <v>89</v>
      </c>
      <c r="F17" s="1">
        <v>78</v>
      </c>
      <c r="G17" s="1">
        <v>67</v>
      </c>
      <c r="H17" s="1">
        <f>SUM(D17:G17)</f>
        <v>299</v>
      </c>
      <c r="I17" s="1">
        <f>AVERAGE(D17:G17)</f>
        <v>74.75</v>
      </c>
      <c r="J17" s="3" t="str">
        <f t="shared" si="1"/>
        <v>PASS</v>
      </c>
    </row>
    <row r="18" spans="1:10" x14ac:dyDescent="0.25">
      <c r="A18" s="1">
        <v>16</v>
      </c>
      <c r="B18" t="s">
        <v>23</v>
      </c>
      <c r="C18" t="s">
        <v>7</v>
      </c>
      <c r="D18" s="1">
        <v>34</v>
      </c>
      <c r="E18" s="1">
        <v>78</v>
      </c>
      <c r="F18" s="1">
        <v>76</v>
      </c>
      <c r="G18" s="1">
        <v>81</v>
      </c>
      <c r="H18" s="1">
        <f>SUM(D18:G18)</f>
        <v>269</v>
      </c>
      <c r="I18" s="1">
        <f>AVERAGE(D18:G18)</f>
        <v>67.25</v>
      </c>
      <c r="J18" s="4" t="str">
        <f t="shared" si="1"/>
        <v>FAIL</v>
      </c>
    </row>
    <row r="19" spans="1:10" x14ac:dyDescent="0.25">
      <c r="A19" s="1">
        <v>17</v>
      </c>
      <c r="B19" t="s">
        <v>24</v>
      </c>
      <c r="C19" t="s">
        <v>7</v>
      </c>
      <c r="D19" s="1">
        <v>54</v>
      </c>
      <c r="E19" s="1">
        <v>56</v>
      </c>
      <c r="F19" s="1">
        <v>67</v>
      </c>
      <c r="G19" s="1">
        <v>87</v>
      </c>
      <c r="H19" s="1">
        <f>SUM(D19:G19)</f>
        <v>264</v>
      </c>
      <c r="I19" s="1">
        <f>AVERAGE(D19:G19)</f>
        <v>66</v>
      </c>
      <c r="J19" s="3" t="str">
        <f t="shared" si="1"/>
        <v>PASS</v>
      </c>
    </row>
    <row r="20" spans="1:10" x14ac:dyDescent="0.25">
      <c r="A20" s="1">
        <v>18</v>
      </c>
      <c r="B20" t="s">
        <v>25</v>
      </c>
      <c r="C20" t="s">
        <v>7</v>
      </c>
      <c r="D20" s="1">
        <v>87</v>
      </c>
      <c r="E20" s="1">
        <v>45</v>
      </c>
      <c r="F20" s="1">
        <v>65</v>
      </c>
      <c r="G20" s="1">
        <v>56</v>
      </c>
      <c r="H20" s="1">
        <f>SUM(D20:G20)</f>
        <v>253</v>
      </c>
      <c r="I20" s="1">
        <f>AVERAGE(D20:G20)</f>
        <v>63.25</v>
      </c>
      <c r="J20" s="4" t="str">
        <f t="shared" si="1"/>
        <v>FAIL</v>
      </c>
    </row>
    <row r="21" spans="1:10" x14ac:dyDescent="0.25">
      <c r="A21" s="1">
        <v>19</v>
      </c>
      <c r="B21" t="s">
        <v>26</v>
      </c>
      <c r="C21" t="s">
        <v>7</v>
      </c>
      <c r="D21" s="1">
        <v>89</v>
      </c>
      <c r="E21" s="1">
        <v>23</v>
      </c>
      <c r="F21" s="1">
        <v>78</v>
      </c>
      <c r="G21" s="1">
        <v>45</v>
      </c>
      <c r="H21" s="1">
        <f>SUM(D21:G21)</f>
        <v>235</v>
      </c>
      <c r="I21" s="1">
        <f>AVERAGE(D21:G21)</f>
        <v>58.75</v>
      </c>
      <c r="J21" s="4" t="str">
        <f t="shared" si="1"/>
        <v>FAIL</v>
      </c>
    </row>
    <row r="22" spans="1:10" x14ac:dyDescent="0.25">
      <c r="A22" s="1">
        <v>20</v>
      </c>
      <c r="B22" t="s">
        <v>27</v>
      </c>
      <c r="C22" t="s">
        <v>7</v>
      </c>
      <c r="D22" s="1">
        <v>90</v>
      </c>
      <c r="E22" s="1">
        <v>78</v>
      </c>
      <c r="F22" s="1">
        <v>87</v>
      </c>
      <c r="G22" s="1">
        <v>52</v>
      </c>
      <c r="H22" s="1">
        <f>SUM(D22:G22)</f>
        <v>307</v>
      </c>
      <c r="I22" s="1">
        <f>AVERAGE(D22:G22)</f>
        <v>76.75</v>
      </c>
      <c r="J22" s="3" t="str">
        <f t="shared" si="1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 NGP. LAB8</dc:creator>
  <cp:lastModifiedBy>SIT NGP. LAB8</cp:lastModifiedBy>
  <dcterms:created xsi:type="dcterms:W3CDTF">2026-09-10T08:48:03Z</dcterms:created>
  <dcterms:modified xsi:type="dcterms:W3CDTF">2026-09-10T09:45:16Z</dcterms:modified>
</cp:coreProperties>
</file>